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emans/Dropbox/ABX_Microbiome_Manuscript/Revision/Final Version V4.0/Version 4.5/Source Data/"/>
    </mc:Choice>
  </mc:AlternateContent>
  <xr:revisionPtr revIDLastSave="0" documentId="13_ncr:1_{51ECF578-A097-F043-9F52-026919C6AA03}" xr6:coauthVersionLast="36" xr6:coauthVersionMax="36" xr10:uidLastSave="{00000000-0000-0000-0000-000000000000}"/>
  <bookViews>
    <workbookView xWindow="3420" yWindow="3420" windowWidth="27640" windowHeight="16940" activeTab="1" xr2:uid="{BBFD80A3-46A9-7E45-AE18-6FA3772EBC2A}"/>
  </bookViews>
  <sheets>
    <sheet name="Panel A" sheetId="1" r:id="rId1"/>
    <sheet name="Panel B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J3" i="2"/>
  <c r="J4" i="2"/>
  <c r="J5" i="2"/>
  <c r="K2" i="2"/>
  <c r="J2" i="2"/>
</calcChain>
</file>

<file path=xl/sharedStrings.xml><?xml version="1.0" encoding="utf-8"?>
<sst xmlns="http://schemas.openxmlformats.org/spreadsheetml/2006/main" count="65" uniqueCount="56">
  <si>
    <t>A. Killing curves</t>
  </si>
  <si>
    <t>Time (h)</t>
  </si>
  <si>
    <t>B. vulgatus- Ery</t>
  </si>
  <si>
    <t>B. vulgatus- Azi</t>
  </si>
  <si>
    <t>B. vulgatus- Doxy</t>
  </si>
  <si>
    <t>B. uniformis- Ery</t>
  </si>
  <si>
    <t>B. uniformis- Azi</t>
  </si>
  <si>
    <t>B. uniformis- Doxy</t>
  </si>
  <si>
    <t>B. fragilis- Ery</t>
  </si>
  <si>
    <t>B. fragilis- Azi</t>
  </si>
  <si>
    <t>B. fragilis- Doxy</t>
  </si>
  <si>
    <t>B. theta- Ery</t>
  </si>
  <si>
    <t>B. theta-Azi</t>
  </si>
  <si>
    <t>B. theta-Doxy</t>
  </si>
  <si>
    <t>E. rectale-Ery</t>
  </si>
  <si>
    <t>E. rectale-Azi</t>
  </si>
  <si>
    <t>E. rectale-Doxy</t>
  </si>
  <si>
    <t>R. intestinalis- Ery</t>
  </si>
  <si>
    <t>R. intestinalis- Azi</t>
  </si>
  <si>
    <t>R. intestinalis- Doxy</t>
  </si>
  <si>
    <t>nd</t>
  </si>
  <si>
    <t>F. nucleatum-Ery</t>
  </si>
  <si>
    <t>F. nucleatum-Azi</t>
  </si>
  <si>
    <t>F. nucleatum-Doxy</t>
  </si>
  <si>
    <t>B. caccae-Ery</t>
  </si>
  <si>
    <t>B. caccae-Azi</t>
  </si>
  <si>
    <t>B. caccae-Doxy</t>
  </si>
  <si>
    <t>B. ovatus-Ery</t>
  </si>
  <si>
    <t>B. ovatus-Azi</t>
  </si>
  <si>
    <t>B. ovatus-Doxy</t>
  </si>
  <si>
    <t>E. coli ED1a-Ery</t>
  </si>
  <si>
    <t>E. coli ED1a-Azi</t>
  </si>
  <si>
    <t>E. coli ED1a-Doxy</t>
  </si>
  <si>
    <t>P. copri-Ery</t>
  </si>
  <si>
    <t>P. copri-Azi</t>
  </si>
  <si>
    <t>P. copri-Doxy</t>
  </si>
  <si>
    <t>C. bolteae-Doxy</t>
  </si>
  <si>
    <t/>
  </si>
  <si>
    <t>Freq. of Parent</t>
  </si>
  <si>
    <t>All cells | Freq. of Parent</t>
  </si>
  <si>
    <t>All cells/Single Cells | Freq. of Parent</t>
  </si>
  <si>
    <t>Counts</t>
  </si>
  <si>
    <t>All cells/Single Cells/Q1: Syto9- , PI+ | Freq. of Parent</t>
  </si>
  <si>
    <t>All cells/Single Cells/Q2: Syto9+ , PI+ | Freq. of Parent</t>
  </si>
  <si>
    <t>All cells/Single Cells/Q3: Syto9+ , PI- | Freq. of Parent</t>
  </si>
  <si>
    <t>All cells/Single Cells/Q4: Syto9- , PI- | Freq. of Parent</t>
  </si>
  <si>
    <t>E. coli_Untreated</t>
  </si>
  <si>
    <t>E. coli_Erythromycin</t>
  </si>
  <si>
    <t>E. coli_Azithromycin</t>
  </si>
  <si>
    <t>E. coli_Doxycycline</t>
  </si>
  <si>
    <t>B, vulgatus_Untreated</t>
  </si>
  <si>
    <t>B. vulgatus_Erythromcyin</t>
  </si>
  <si>
    <t>B. vulgatus_Azithromycin</t>
  </si>
  <si>
    <t>B, vulgatus_Doxycycline</t>
  </si>
  <si>
    <t>All cells/Single Cells/PI+ | Freq. of Parent</t>
  </si>
  <si>
    <t>All cells/Single Cells/PI- | Freq. of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</si>
</sst>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1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DFA6B-FB9A-3F44-998C-23331E0EB4FA}">
  <dimension ref="A1:G104"/>
  <sheetViews>
    <sheetView workbookViewId="0">
      <selection activeCell="I12" sqref="I12"/>
    </sheetView>
  </sheetViews>
  <sheetFormatPr baseColWidth="10" defaultRowHeight="16" x14ac:dyDescent="0.2"/>
  <sheetData>
    <row r="1" spans="1:7" x14ac:dyDescent="0.2">
      <c r="A1" s="1" t="s">
        <v>0</v>
      </c>
      <c r="B1" s="1"/>
      <c r="C1" s="1"/>
      <c r="D1" s="1"/>
      <c r="E1" s="1"/>
      <c r="F1" s="1"/>
      <c r="G1" s="1"/>
    </row>
    <row r="2" spans="1:7" x14ac:dyDescent="0.2">
      <c r="A2" s="2" t="s">
        <v>1</v>
      </c>
      <c r="B2" s="3">
        <v>0</v>
      </c>
      <c r="C2" s="3">
        <v>1</v>
      </c>
      <c r="D2" s="3">
        <v>2</v>
      </c>
      <c r="E2" s="3">
        <v>3</v>
      </c>
      <c r="F2" s="3">
        <v>4</v>
      </c>
      <c r="G2" s="3">
        <v>5</v>
      </c>
    </row>
    <row r="3" spans="1:7" x14ac:dyDescent="0.2">
      <c r="A3" s="5" t="s">
        <v>2</v>
      </c>
      <c r="B3" s="4">
        <v>3600000000</v>
      </c>
      <c r="C3" s="4">
        <v>800000</v>
      </c>
      <c r="D3" s="4">
        <v>20000</v>
      </c>
      <c r="E3" s="4">
        <v>4000</v>
      </c>
      <c r="F3" s="4">
        <v>200</v>
      </c>
      <c r="G3" s="4">
        <v>105</v>
      </c>
    </row>
    <row r="4" spans="1:7" x14ac:dyDescent="0.2">
      <c r="A4" s="5"/>
      <c r="B4" s="4">
        <v>600000000</v>
      </c>
      <c r="C4" s="4">
        <v>2000000</v>
      </c>
      <c r="D4" s="4">
        <v>74000</v>
      </c>
      <c r="E4" s="4">
        <v>16000</v>
      </c>
      <c r="F4" s="4">
        <v>4000</v>
      </c>
      <c r="G4" s="4">
        <v>290</v>
      </c>
    </row>
    <row r="5" spans="1:7" x14ac:dyDescent="0.2">
      <c r="A5" s="5"/>
      <c r="B5" s="4">
        <v>600000000</v>
      </c>
      <c r="C5" s="4">
        <v>40000</v>
      </c>
      <c r="D5" s="4">
        <v>32000</v>
      </c>
      <c r="E5" s="4">
        <v>200</v>
      </c>
      <c r="F5" s="4">
        <v>200</v>
      </c>
      <c r="G5" s="4">
        <v>65</v>
      </c>
    </row>
    <row r="6" spans="1:7" x14ac:dyDescent="0.2">
      <c r="A6" s="5" t="s">
        <v>3</v>
      </c>
      <c r="B6" s="4">
        <v>3600000000</v>
      </c>
      <c r="C6" s="4">
        <v>6000000</v>
      </c>
      <c r="D6" s="4">
        <v>100000</v>
      </c>
      <c r="E6" s="4">
        <v>36000</v>
      </c>
      <c r="F6" s="4">
        <v>20000</v>
      </c>
      <c r="G6" s="4">
        <v>580</v>
      </c>
    </row>
    <row r="7" spans="1:7" x14ac:dyDescent="0.2">
      <c r="A7" s="5"/>
      <c r="B7" s="4">
        <v>600000000</v>
      </c>
      <c r="C7" s="4">
        <v>24000000</v>
      </c>
      <c r="D7" s="4">
        <v>142000</v>
      </c>
      <c r="E7" s="4">
        <v>340000</v>
      </c>
      <c r="F7" s="4">
        <v>6000</v>
      </c>
      <c r="G7" s="4">
        <v>1440</v>
      </c>
    </row>
    <row r="8" spans="1:7" x14ac:dyDescent="0.2">
      <c r="A8" s="5"/>
      <c r="B8" s="4">
        <v>600000000</v>
      </c>
      <c r="C8" s="4">
        <v>3000000</v>
      </c>
      <c r="D8" s="4">
        <v>260000</v>
      </c>
      <c r="E8" s="4">
        <v>28000</v>
      </c>
      <c r="F8" s="4">
        <v>6000</v>
      </c>
      <c r="G8" s="4">
        <v>1120</v>
      </c>
    </row>
    <row r="9" spans="1:7" x14ac:dyDescent="0.2">
      <c r="A9" s="5" t="s">
        <v>4</v>
      </c>
      <c r="B9" s="4">
        <v>3600000000</v>
      </c>
      <c r="C9" s="4">
        <v>1000000</v>
      </c>
      <c r="D9" s="4">
        <v>28000</v>
      </c>
      <c r="E9" s="4">
        <v>40000</v>
      </c>
      <c r="F9" s="4">
        <v>10000</v>
      </c>
      <c r="G9" s="4">
        <v>1040</v>
      </c>
    </row>
    <row r="10" spans="1:7" x14ac:dyDescent="0.2">
      <c r="A10" s="5"/>
      <c r="B10" s="4">
        <v>600000000</v>
      </c>
      <c r="C10" s="4">
        <v>2000000</v>
      </c>
      <c r="D10" s="4">
        <v>106000</v>
      </c>
      <c r="E10" s="4">
        <v>260000</v>
      </c>
      <c r="F10" s="4">
        <v>24000</v>
      </c>
      <c r="G10" s="4">
        <v>560</v>
      </c>
    </row>
    <row r="11" spans="1:7" x14ac:dyDescent="0.2">
      <c r="A11" s="5"/>
      <c r="B11" s="4">
        <v>600000000</v>
      </c>
      <c r="C11" s="4">
        <v>300000</v>
      </c>
      <c r="D11" s="4">
        <v>60000</v>
      </c>
      <c r="E11" s="4">
        <v>40000</v>
      </c>
      <c r="F11" s="4">
        <v>36000</v>
      </c>
      <c r="G11" s="4">
        <v>370</v>
      </c>
    </row>
    <row r="12" spans="1:7" x14ac:dyDescent="0.2">
      <c r="A12" s="5" t="s">
        <v>5</v>
      </c>
      <c r="B12" s="4">
        <v>180000000</v>
      </c>
      <c r="C12" s="4">
        <v>16000000</v>
      </c>
      <c r="D12" s="4">
        <v>3600000</v>
      </c>
      <c r="E12" s="4">
        <v>1600000</v>
      </c>
      <c r="F12" s="4">
        <v>220000</v>
      </c>
      <c r="G12" s="4">
        <v>660</v>
      </c>
    </row>
    <row r="13" spans="1:7" x14ac:dyDescent="0.2">
      <c r="A13" s="5"/>
      <c r="B13" s="4">
        <v>200000000</v>
      </c>
      <c r="C13" s="4">
        <v>8000000</v>
      </c>
      <c r="D13" s="4">
        <v>1800000</v>
      </c>
      <c r="E13" s="4">
        <v>2800000</v>
      </c>
      <c r="F13" s="4">
        <v>100000</v>
      </c>
      <c r="G13" s="4">
        <v>2560</v>
      </c>
    </row>
    <row r="14" spans="1:7" x14ac:dyDescent="0.2">
      <c r="A14" s="5"/>
      <c r="B14" s="4">
        <v>280000000</v>
      </c>
      <c r="C14" s="4">
        <v>4000000</v>
      </c>
      <c r="D14" s="4">
        <v>3200000</v>
      </c>
      <c r="E14" s="4">
        <v>1800000</v>
      </c>
      <c r="F14" s="4">
        <v>160000</v>
      </c>
      <c r="G14" s="4">
        <v>1300</v>
      </c>
    </row>
    <row r="15" spans="1:7" x14ac:dyDescent="0.2">
      <c r="A15" s="5" t="s">
        <v>6</v>
      </c>
      <c r="B15" s="4">
        <v>180000000</v>
      </c>
      <c r="C15" s="4">
        <v>32000000</v>
      </c>
      <c r="D15" s="4">
        <v>3600000</v>
      </c>
      <c r="E15" s="4">
        <v>1200000</v>
      </c>
      <c r="F15" s="4">
        <v>160000</v>
      </c>
      <c r="G15" s="4">
        <v>790</v>
      </c>
    </row>
    <row r="16" spans="1:7" x14ac:dyDescent="0.2">
      <c r="A16" s="5"/>
      <c r="B16" s="4">
        <v>200000000</v>
      </c>
      <c r="C16" s="4">
        <v>8000000</v>
      </c>
      <c r="D16" s="4">
        <v>3800000</v>
      </c>
      <c r="E16" s="4">
        <v>2600000</v>
      </c>
      <c r="F16" s="4">
        <v>120000</v>
      </c>
      <c r="G16" s="4">
        <v>2400</v>
      </c>
    </row>
    <row r="17" spans="1:7" x14ac:dyDescent="0.2">
      <c r="A17" s="5"/>
      <c r="B17" s="4">
        <v>280000000</v>
      </c>
      <c r="C17" s="4">
        <v>18000000</v>
      </c>
      <c r="D17" s="4">
        <v>3000000</v>
      </c>
      <c r="E17" s="4">
        <v>2400000</v>
      </c>
      <c r="F17" s="4">
        <v>60000</v>
      </c>
      <c r="G17" s="4">
        <v>620</v>
      </c>
    </row>
    <row r="18" spans="1:7" x14ac:dyDescent="0.2">
      <c r="A18" s="5" t="s">
        <v>7</v>
      </c>
      <c r="B18" s="4">
        <v>180000000</v>
      </c>
      <c r="C18" s="4">
        <v>18000000</v>
      </c>
      <c r="D18" s="4">
        <v>4200000</v>
      </c>
      <c r="E18" s="4">
        <v>1600000</v>
      </c>
      <c r="F18" s="4">
        <v>380000</v>
      </c>
      <c r="G18" s="4">
        <v>160000</v>
      </c>
    </row>
    <row r="19" spans="1:7" x14ac:dyDescent="0.2">
      <c r="A19" s="5"/>
      <c r="B19" s="4">
        <v>200000000</v>
      </c>
      <c r="C19" s="4">
        <v>20000000</v>
      </c>
      <c r="D19" s="4">
        <v>5200000</v>
      </c>
      <c r="E19" s="4">
        <v>1800000</v>
      </c>
      <c r="F19" s="4">
        <v>180000</v>
      </c>
      <c r="G19" s="4">
        <v>140000</v>
      </c>
    </row>
    <row r="20" spans="1:7" x14ac:dyDescent="0.2">
      <c r="A20" s="5"/>
      <c r="B20" s="4">
        <v>280000000</v>
      </c>
      <c r="C20" s="4">
        <v>20000000</v>
      </c>
      <c r="D20" s="4">
        <v>16000000</v>
      </c>
      <c r="E20" s="4">
        <v>1800000</v>
      </c>
      <c r="F20" s="4">
        <v>600000</v>
      </c>
      <c r="G20" s="4">
        <v>200000</v>
      </c>
    </row>
    <row r="21" spans="1:7" x14ac:dyDescent="0.2">
      <c r="A21" s="5" t="s">
        <v>8</v>
      </c>
      <c r="B21" s="4">
        <v>120000000</v>
      </c>
      <c r="C21" s="4">
        <v>80000000</v>
      </c>
      <c r="D21" s="4">
        <v>80000000</v>
      </c>
      <c r="E21" s="4">
        <v>5400000</v>
      </c>
      <c r="F21" s="4">
        <v>18000000</v>
      </c>
      <c r="G21" s="4">
        <v>1000000</v>
      </c>
    </row>
    <row r="22" spans="1:7" x14ac:dyDescent="0.2">
      <c r="A22" s="5"/>
      <c r="B22" s="4">
        <v>140000000</v>
      </c>
      <c r="C22" s="4">
        <v>80000000</v>
      </c>
      <c r="D22" s="4">
        <v>12000000</v>
      </c>
      <c r="E22" s="4">
        <v>10000000</v>
      </c>
      <c r="F22" s="4">
        <v>2400000</v>
      </c>
      <c r="G22" s="4">
        <v>100000</v>
      </c>
    </row>
    <row r="23" spans="1:7" x14ac:dyDescent="0.2">
      <c r="A23" s="5"/>
      <c r="B23" s="4">
        <v>120000000</v>
      </c>
      <c r="C23" s="4">
        <v>10000000</v>
      </c>
      <c r="D23" s="4">
        <v>14000000</v>
      </c>
      <c r="E23" s="4">
        <v>4000000</v>
      </c>
      <c r="F23" s="4">
        <v>2600000</v>
      </c>
      <c r="G23" s="4">
        <v>1400000</v>
      </c>
    </row>
    <row r="24" spans="1:7" x14ac:dyDescent="0.2">
      <c r="A24" s="5" t="s">
        <v>9</v>
      </c>
      <c r="B24" s="4">
        <v>120000000</v>
      </c>
      <c r="C24" s="4">
        <v>100000000</v>
      </c>
      <c r="D24" s="4">
        <v>10000000</v>
      </c>
      <c r="E24" s="4">
        <v>8000000</v>
      </c>
      <c r="F24" s="4">
        <v>16000000</v>
      </c>
      <c r="G24" s="4">
        <v>1200000</v>
      </c>
    </row>
    <row r="25" spans="1:7" x14ac:dyDescent="0.2">
      <c r="A25" s="5"/>
      <c r="B25" s="4">
        <v>140000000</v>
      </c>
      <c r="C25" s="4">
        <v>2000000</v>
      </c>
      <c r="D25" s="4">
        <v>14000000</v>
      </c>
      <c r="E25" s="4">
        <v>30000000</v>
      </c>
      <c r="F25" s="4">
        <v>16000000</v>
      </c>
      <c r="G25" s="4">
        <v>1200000</v>
      </c>
    </row>
    <row r="26" spans="1:7" x14ac:dyDescent="0.2">
      <c r="A26" s="5"/>
      <c r="B26" s="4">
        <v>120000000</v>
      </c>
      <c r="C26" s="4">
        <v>600000</v>
      </c>
      <c r="D26" s="4">
        <v>3000000</v>
      </c>
      <c r="E26" s="4">
        <v>12000000</v>
      </c>
      <c r="F26" s="4">
        <v>1600000</v>
      </c>
      <c r="G26" s="4">
        <v>2000000</v>
      </c>
    </row>
    <row r="27" spans="1:7" x14ac:dyDescent="0.2">
      <c r="A27" s="5" t="s">
        <v>10</v>
      </c>
      <c r="B27" s="4">
        <v>120000000</v>
      </c>
      <c r="C27" s="4">
        <v>260000000</v>
      </c>
      <c r="D27" s="4">
        <v>140000000</v>
      </c>
      <c r="E27" s="4">
        <v>14000000</v>
      </c>
      <c r="F27" s="4">
        <v>2400000</v>
      </c>
      <c r="G27" s="4">
        <v>1600000</v>
      </c>
    </row>
    <row r="28" spans="1:7" x14ac:dyDescent="0.2">
      <c r="A28" s="5"/>
      <c r="B28" s="4">
        <v>140000000</v>
      </c>
      <c r="C28" s="4">
        <v>8000000</v>
      </c>
      <c r="D28" s="4">
        <v>16000000</v>
      </c>
      <c r="E28" s="4">
        <v>26000000</v>
      </c>
      <c r="F28" s="4">
        <v>2600000</v>
      </c>
      <c r="G28" s="4">
        <v>200000</v>
      </c>
    </row>
    <row r="29" spans="1:7" x14ac:dyDescent="0.2">
      <c r="A29" s="5"/>
      <c r="B29" s="4">
        <v>120000000</v>
      </c>
      <c r="C29" s="4">
        <v>400000</v>
      </c>
      <c r="D29" s="4">
        <v>2800000</v>
      </c>
      <c r="E29" s="4">
        <v>8000000</v>
      </c>
      <c r="F29" s="4">
        <v>2600000</v>
      </c>
      <c r="G29" s="4">
        <v>1400000</v>
      </c>
    </row>
    <row r="30" spans="1:7" x14ac:dyDescent="0.2">
      <c r="A30" s="5" t="s">
        <v>11</v>
      </c>
      <c r="B30" s="4">
        <v>1200000000</v>
      </c>
      <c r="C30" s="4">
        <v>18000000</v>
      </c>
      <c r="D30" s="4">
        <v>26000000</v>
      </c>
      <c r="E30" s="4">
        <v>360000</v>
      </c>
      <c r="F30" s="4">
        <v>18000</v>
      </c>
      <c r="G30" s="4">
        <v>8000</v>
      </c>
    </row>
    <row r="31" spans="1:7" x14ac:dyDescent="0.2">
      <c r="A31" s="5"/>
      <c r="B31" s="4">
        <v>400000000</v>
      </c>
      <c r="C31" s="4">
        <v>28000000</v>
      </c>
      <c r="D31" s="4">
        <v>3000000</v>
      </c>
      <c r="E31" s="4">
        <v>240000</v>
      </c>
      <c r="F31" s="4">
        <v>20000</v>
      </c>
      <c r="G31" s="4">
        <v>4000</v>
      </c>
    </row>
    <row r="32" spans="1:7" x14ac:dyDescent="0.2">
      <c r="A32" s="5"/>
      <c r="B32" s="4">
        <v>4000000000</v>
      </c>
      <c r="C32" s="4">
        <v>16000000</v>
      </c>
      <c r="D32" s="4">
        <v>12000000</v>
      </c>
      <c r="E32" s="4">
        <v>80000</v>
      </c>
      <c r="F32" s="4">
        <v>20000</v>
      </c>
      <c r="G32" s="4">
        <v>6000</v>
      </c>
    </row>
    <row r="33" spans="1:7" x14ac:dyDescent="0.2">
      <c r="A33" s="5" t="s">
        <v>12</v>
      </c>
      <c r="B33" s="4">
        <v>1200000000</v>
      </c>
      <c r="C33" s="4">
        <v>30000000</v>
      </c>
      <c r="D33" s="4">
        <v>36000000</v>
      </c>
      <c r="E33" s="4">
        <v>220000</v>
      </c>
      <c r="F33" s="4">
        <v>300000</v>
      </c>
      <c r="G33" s="4">
        <v>80000</v>
      </c>
    </row>
    <row r="34" spans="1:7" x14ac:dyDescent="0.2">
      <c r="A34" s="5"/>
      <c r="B34" s="4">
        <v>400000000</v>
      </c>
      <c r="C34" s="4">
        <v>36000000</v>
      </c>
      <c r="D34" s="4">
        <v>10000000</v>
      </c>
      <c r="E34" s="4">
        <v>2400000</v>
      </c>
      <c r="F34" s="4">
        <v>120000</v>
      </c>
      <c r="G34" s="4">
        <v>12000</v>
      </c>
    </row>
    <row r="35" spans="1:7" x14ac:dyDescent="0.2">
      <c r="A35" s="5"/>
      <c r="B35" s="4">
        <v>4000000000</v>
      </c>
      <c r="C35" s="4">
        <v>14000000</v>
      </c>
      <c r="D35" s="4">
        <v>14000000</v>
      </c>
      <c r="E35" s="4">
        <v>1200000</v>
      </c>
      <c r="F35" s="4">
        <v>40000</v>
      </c>
      <c r="G35" s="4">
        <v>200</v>
      </c>
    </row>
    <row r="36" spans="1:7" x14ac:dyDescent="0.2">
      <c r="A36" s="5" t="s">
        <v>13</v>
      </c>
      <c r="B36" s="4">
        <v>1200000000</v>
      </c>
      <c r="C36" s="4">
        <v>14000000</v>
      </c>
      <c r="D36" s="4">
        <v>28000000</v>
      </c>
      <c r="E36" s="4">
        <v>160000</v>
      </c>
      <c r="F36" s="4">
        <v>2000000</v>
      </c>
      <c r="G36" s="4">
        <v>80000</v>
      </c>
    </row>
    <row r="37" spans="1:7" x14ac:dyDescent="0.2">
      <c r="A37" s="5"/>
      <c r="B37" s="4">
        <v>400000000</v>
      </c>
      <c r="C37" s="4">
        <v>38000000</v>
      </c>
      <c r="D37" s="4">
        <v>26000000</v>
      </c>
      <c r="E37" s="4">
        <v>2800000</v>
      </c>
      <c r="F37" s="4">
        <v>160000</v>
      </c>
      <c r="G37" s="4">
        <v>24000</v>
      </c>
    </row>
    <row r="38" spans="1:7" x14ac:dyDescent="0.2">
      <c r="A38" s="5"/>
      <c r="B38" s="4">
        <v>4000000000</v>
      </c>
      <c r="C38" s="4">
        <v>16000000</v>
      </c>
      <c r="D38" s="4">
        <v>16000000</v>
      </c>
      <c r="E38" s="4">
        <v>1000000</v>
      </c>
      <c r="F38" s="4">
        <v>40000</v>
      </c>
      <c r="G38" s="4">
        <v>12000</v>
      </c>
    </row>
    <row r="39" spans="1:7" x14ac:dyDescent="0.2">
      <c r="A39" s="5" t="s">
        <v>14</v>
      </c>
      <c r="B39" s="4">
        <v>2800000</v>
      </c>
      <c r="C39" s="4">
        <v>10000000</v>
      </c>
      <c r="D39" s="4">
        <v>1400000</v>
      </c>
      <c r="E39" s="4">
        <v>1000000</v>
      </c>
      <c r="F39" s="4">
        <v>670</v>
      </c>
      <c r="G39" s="4">
        <v>25</v>
      </c>
    </row>
    <row r="40" spans="1:7" x14ac:dyDescent="0.2">
      <c r="A40" s="5"/>
      <c r="B40" s="4">
        <v>12000000</v>
      </c>
      <c r="C40" s="4">
        <v>1800000</v>
      </c>
      <c r="D40" s="4">
        <v>1400000</v>
      </c>
      <c r="E40" s="4">
        <v>800000</v>
      </c>
      <c r="F40" s="4">
        <v>1230</v>
      </c>
      <c r="G40" s="4">
        <v>414</v>
      </c>
    </row>
    <row r="41" spans="1:7" x14ac:dyDescent="0.2">
      <c r="A41" s="5"/>
      <c r="B41" s="4">
        <v>18000000</v>
      </c>
      <c r="C41" s="4">
        <v>3000000</v>
      </c>
      <c r="D41" s="4">
        <v>600000</v>
      </c>
      <c r="E41" s="4">
        <v>400000</v>
      </c>
      <c r="F41" s="4">
        <v>3630</v>
      </c>
      <c r="G41" s="4">
        <v>439</v>
      </c>
    </row>
    <row r="42" spans="1:7" x14ac:dyDescent="0.2">
      <c r="A42" s="5" t="s">
        <v>15</v>
      </c>
      <c r="B42" s="4">
        <v>2800000</v>
      </c>
      <c r="C42" s="4">
        <v>10000000</v>
      </c>
      <c r="D42" s="4">
        <v>100000</v>
      </c>
      <c r="E42" s="4">
        <v>20000</v>
      </c>
      <c r="F42" s="4">
        <v>1190</v>
      </c>
      <c r="G42" s="4">
        <v>65</v>
      </c>
    </row>
    <row r="43" spans="1:7" x14ac:dyDescent="0.2">
      <c r="A43" s="5"/>
      <c r="B43" s="4">
        <v>12000000</v>
      </c>
      <c r="C43" s="4">
        <v>8000000</v>
      </c>
      <c r="D43" s="4">
        <v>200000</v>
      </c>
      <c r="E43" s="4">
        <v>80000</v>
      </c>
      <c r="F43" s="4">
        <v>595</v>
      </c>
      <c r="G43" s="4">
        <v>35</v>
      </c>
    </row>
    <row r="44" spans="1:7" x14ac:dyDescent="0.2">
      <c r="A44" s="5"/>
      <c r="B44" s="4">
        <v>18000000</v>
      </c>
      <c r="C44" s="4">
        <v>640000</v>
      </c>
      <c r="D44" s="4">
        <v>240000</v>
      </c>
      <c r="E44" s="4">
        <v>40000</v>
      </c>
      <c r="F44" s="4">
        <v>1270</v>
      </c>
      <c r="G44" s="4">
        <v>45</v>
      </c>
    </row>
    <row r="45" spans="1:7" x14ac:dyDescent="0.2">
      <c r="A45" s="5" t="s">
        <v>16</v>
      </c>
      <c r="B45" s="4">
        <v>2800000</v>
      </c>
      <c r="C45" s="4">
        <v>1000000</v>
      </c>
      <c r="D45" s="4">
        <v>22000</v>
      </c>
      <c r="E45" s="4">
        <v>2730</v>
      </c>
      <c r="F45" s="4">
        <v>1740</v>
      </c>
      <c r="G45" s="4">
        <v>230</v>
      </c>
    </row>
    <row r="46" spans="1:7" x14ac:dyDescent="0.2">
      <c r="A46" s="5"/>
      <c r="B46" s="4">
        <v>12000000</v>
      </c>
      <c r="C46" s="4">
        <v>600000</v>
      </c>
      <c r="D46" s="4">
        <v>100000</v>
      </c>
      <c r="E46" s="4">
        <v>3020</v>
      </c>
      <c r="F46" s="4">
        <v>365</v>
      </c>
      <c r="G46" s="4">
        <v>140</v>
      </c>
    </row>
    <row r="47" spans="1:7" x14ac:dyDescent="0.2">
      <c r="A47" s="5"/>
      <c r="B47" s="4">
        <v>18000000</v>
      </c>
      <c r="C47" s="4">
        <v>1400000</v>
      </c>
      <c r="D47" s="4">
        <v>80000</v>
      </c>
      <c r="E47" s="4">
        <v>4260</v>
      </c>
      <c r="F47" s="4">
        <v>665</v>
      </c>
      <c r="G47" s="4">
        <v>80</v>
      </c>
    </row>
    <row r="48" spans="1:7" x14ac:dyDescent="0.2">
      <c r="A48" s="5" t="s">
        <v>17</v>
      </c>
      <c r="B48" s="4">
        <v>2000000000</v>
      </c>
      <c r="C48" s="4">
        <v>800000</v>
      </c>
      <c r="D48" s="4">
        <v>0</v>
      </c>
      <c r="E48" s="4">
        <v>11</v>
      </c>
      <c r="F48" s="4">
        <v>74.5</v>
      </c>
      <c r="G48" s="4">
        <v>24.5</v>
      </c>
    </row>
    <row r="49" spans="1:7" x14ac:dyDescent="0.2">
      <c r="A49" s="5"/>
      <c r="B49" s="4">
        <v>8000000000</v>
      </c>
      <c r="C49" s="4">
        <v>800000</v>
      </c>
      <c r="D49" s="4">
        <v>86.5</v>
      </c>
      <c r="E49" s="4">
        <v>14.5</v>
      </c>
      <c r="F49" s="4">
        <v>0</v>
      </c>
      <c r="G49" s="4">
        <v>114</v>
      </c>
    </row>
    <row r="50" spans="1:7" x14ac:dyDescent="0.2">
      <c r="A50" s="5"/>
      <c r="B50" s="4">
        <v>40000000</v>
      </c>
      <c r="C50" s="4">
        <v>1600000</v>
      </c>
      <c r="D50" s="4">
        <v>2</v>
      </c>
      <c r="E50" s="4">
        <v>27.5</v>
      </c>
      <c r="F50" s="4">
        <v>47</v>
      </c>
      <c r="G50" s="4">
        <v>25</v>
      </c>
    </row>
    <row r="51" spans="1:7" x14ac:dyDescent="0.2">
      <c r="A51" s="5" t="s">
        <v>18</v>
      </c>
      <c r="B51" s="4">
        <v>2000000000</v>
      </c>
      <c r="C51" s="4">
        <v>120000</v>
      </c>
      <c r="D51" s="4">
        <v>47</v>
      </c>
      <c r="E51" s="4">
        <v>216</v>
      </c>
      <c r="F51" s="4">
        <v>190</v>
      </c>
      <c r="G51" s="4">
        <v>131</v>
      </c>
    </row>
    <row r="52" spans="1:7" x14ac:dyDescent="0.2">
      <c r="A52" s="5"/>
      <c r="B52" s="4">
        <v>8000000000</v>
      </c>
      <c r="C52" s="4">
        <v>100000</v>
      </c>
      <c r="D52" s="4">
        <v>5.5</v>
      </c>
      <c r="E52" s="4">
        <v>127</v>
      </c>
      <c r="F52" s="4">
        <v>101</v>
      </c>
      <c r="G52" s="4">
        <v>185</v>
      </c>
    </row>
    <row r="53" spans="1:7" x14ac:dyDescent="0.2">
      <c r="A53" s="5"/>
      <c r="B53" s="4">
        <v>40000000</v>
      </c>
      <c r="C53" s="4">
        <v>24000</v>
      </c>
      <c r="D53" s="4">
        <v>23.5</v>
      </c>
      <c r="E53" s="4">
        <v>63.5</v>
      </c>
      <c r="F53" s="4">
        <v>137</v>
      </c>
      <c r="G53" s="4">
        <v>150</v>
      </c>
    </row>
    <row r="54" spans="1:7" x14ac:dyDescent="0.2">
      <c r="A54" s="5" t="s">
        <v>19</v>
      </c>
      <c r="B54" s="4">
        <v>2000000000</v>
      </c>
      <c r="C54" s="4">
        <v>80000</v>
      </c>
      <c r="D54" s="4" t="s">
        <v>20</v>
      </c>
      <c r="E54" s="4" t="s">
        <v>20</v>
      </c>
      <c r="F54" s="4" t="s">
        <v>20</v>
      </c>
      <c r="G54" s="4" t="s">
        <v>20</v>
      </c>
    </row>
    <row r="55" spans="1:7" x14ac:dyDescent="0.2">
      <c r="A55" s="5"/>
      <c r="B55" s="4">
        <v>8000000000</v>
      </c>
      <c r="C55" s="4">
        <v>80000</v>
      </c>
      <c r="D55" s="4">
        <v>0.5</v>
      </c>
      <c r="E55" s="4" t="s">
        <v>20</v>
      </c>
      <c r="F55" s="4" t="s">
        <v>20</v>
      </c>
      <c r="G55" s="4" t="s">
        <v>20</v>
      </c>
    </row>
    <row r="56" spans="1:7" x14ac:dyDescent="0.2">
      <c r="A56" s="5"/>
      <c r="B56" s="4">
        <v>40000000</v>
      </c>
      <c r="C56" s="4">
        <v>80000</v>
      </c>
      <c r="D56" s="4">
        <v>0.5</v>
      </c>
      <c r="E56" s="4" t="s">
        <v>20</v>
      </c>
      <c r="F56" s="4" t="s">
        <v>20</v>
      </c>
      <c r="G56" s="4" t="s">
        <v>20</v>
      </c>
    </row>
    <row r="57" spans="1:7" x14ac:dyDescent="0.2">
      <c r="A57" s="5" t="s">
        <v>21</v>
      </c>
      <c r="B57" s="4">
        <v>60000000</v>
      </c>
      <c r="C57" s="4">
        <v>220000000</v>
      </c>
      <c r="D57" s="4">
        <v>38000000</v>
      </c>
      <c r="E57" s="4">
        <v>420000000</v>
      </c>
      <c r="F57" s="4">
        <v>420000000</v>
      </c>
      <c r="G57" s="4">
        <v>40000000</v>
      </c>
    </row>
    <row r="58" spans="1:7" x14ac:dyDescent="0.2">
      <c r="A58" s="5"/>
      <c r="B58" s="4">
        <v>60000000</v>
      </c>
      <c r="C58" s="4">
        <v>1160000000</v>
      </c>
      <c r="D58" s="4">
        <v>580000000</v>
      </c>
      <c r="E58" s="4">
        <v>680000000</v>
      </c>
      <c r="F58" s="4">
        <v>1160000000</v>
      </c>
      <c r="G58" s="4">
        <v>1800000000</v>
      </c>
    </row>
    <row r="59" spans="1:7" x14ac:dyDescent="0.2">
      <c r="A59" s="5"/>
      <c r="B59" s="4">
        <v>600000000</v>
      </c>
      <c r="C59" s="4">
        <v>800000000</v>
      </c>
      <c r="D59" s="4">
        <v>600000000</v>
      </c>
      <c r="E59" s="4">
        <v>1600000000</v>
      </c>
      <c r="F59" s="4">
        <v>800000000</v>
      </c>
      <c r="G59" s="4">
        <v>560000000</v>
      </c>
    </row>
    <row r="60" spans="1:7" x14ac:dyDescent="0.2">
      <c r="A60" s="5" t="s">
        <v>22</v>
      </c>
      <c r="B60" s="4">
        <v>60000000</v>
      </c>
      <c r="C60" s="4">
        <v>240000000</v>
      </c>
      <c r="D60" s="4">
        <v>10000000</v>
      </c>
      <c r="E60" s="4">
        <v>3400000</v>
      </c>
      <c r="F60" s="4">
        <v>1800000</v>
      </c>
      <c r="G60" s="4">
        <v>100000</v>
      </c>
    </row>
    <row r="61" spans="1:7" x14ac:dyDescent="0.2">
      <c r="A61" s="5"/>
      <c r="B61" s="4">
        <v>60000000</v>
      </c>
      <c r="C61" s="4">
        <v>1280000000</v>
      </c>
      <c r="D61" s="4">
        <v>760000000</v>
      </c>
      <c r="E61" s="4">
        <v>1500000000</v>
      </c>
      <c r="F61" s="4">
        <v>620000000</v>
      </c>
      <c r="G61" s="4">
        <v>860000000</v>
      </c>
    </row>
    <row r="62" spans="1:7" x14ac:dyDescent="0.2">
      <c r="A62" s="5"/>
      <c r="B62" s="4">
        <v>600000000</v>
      </c>
      <c r="C62" s="4">
        <v>800000000</v>
      </c>
      <c r="D62" s="4">
        <v>600000000</v>
      </c>
      <c r="E62" s="4">
        <v>580000000</v>
      </c>
      <c r="F62" s="4">
        <v>1200000000</v>
      </c>
      <c r="G62" s="4">
        <v>1440000000</v>
      </c>
    </row>
    <row r="63" spans="1:7" x14ac:dyDescent="0.2">
      <c r="A63" s="5" t="s">
        <v>23</v>
      </c>
      <c r="B63" s="4">
        <v>60000000</v>
      </c>
      <c r="C63" s="4">
        <v>300000000</v>
      </c>
      <c r="D63" s="4">
        <v>400000</v>
      </c>
      <c r="E63" s="4">
        <v>80000000</v>
      </c>
      <c r="F63" s="4">
        <v>1400000</v>
      </c>
      <c r="G63" s="4">
        <v>240000</v>
      </c>
    </row>
    <row r="64" spans="1:7" x14ac:dyDescent="0.2">
      <c r="A64" s="5"/>
      <c r="B64" s="4">
        <v>60000000</v>
      </c>
      <c r="C64" s="4">
        <v>1460000000</v>
      </c>
      <c r="D64" s="4">
        <v>1540000000</v>
      </c>
      <c r="E64" s="4">
        <v>1760000000</v>
      </c>
      <c r="F64" s="4">
        <v>1620000000</v>
      </c>
      <c r="G64" s="4">
        <v>1960000000</v>
      </c>
    </row>
    <row r="65" spans="1:7" x14ac:dyDescent="0.2">
      <c r="A65" s="5"/>
      <c r="B65" s="4">
        <v>600000000</v>
      </c>
      <c r="C65" s="4">
        <v>1400000000</v>
      </c>
      <c r="D65" s="4">
        <v>1200000000</v>
      </c>
      <c r="E65" s="4">
        <v>1600000000</v>
      </c>
      <c r="F65" s="4">
        <v>1600000000</v>
      </c>
      <c r="G65" s="4">
        <v>1280000000</v>
      </c>
    </row>
    <row r="66" spans="1:7" x14ac:dyDescent="0.2">
      <c r="A66" s="5" t="s">
        <v>24</v>
      </c>
      <c r="B66" s="4">
        <v>420000000</v>
      </c>
      <c r="C66" s="4">
        <v>120000000</v>
      </c>
      <c r="D66" s="4">
        <v>2000000000</v>
      </c>
      <c r="E66" s="4">
        <v>3600000000</v>
      </c>
      <c r="F66" s="4">
        <v>600000000</v>
      </c>
      <c r="G66" s="4">
        <v>46000000</v>
      </c>
    </row>
    <row r="67" spans="1:7" x14ac:dyDescent="0.2">
      <c r="A67" s="5"/>
      <c r="B67" s="4">
        <v>91000000</v>
      </c>
      <c r="C67" s="4">
        <v>100000000</v>
      </c>
      <c r="D67" s="4">
        <v>1400000000</v>
      </c>
      <c r="E67" s="4">
        <v>4400000000</v>
      </c>
      <c r="F67" s="4">
        <v>50000000</v>
      </c>
      <c r="G67" s="4">
        <v>1800000000</v>
      </c>
    </row>
    <row r="68" spans="1:7" x14ac:dyDescent="0.2">
      <c r="A68" s="5"/>
      <c r="B68" s="4">
        <v>210000000</v>
      </c>
      <c r="C68" s="4">
        <v>100000000</v>
      </c>
      <c r="D68" s="4">
        <v>1400000000</v>
      </c>
      <c r="E68" s="4">
        <v>1400000000</v>
      </c>
      <c r="F68" s="4">
        <v>200000000</v>
      </c>
      <c r="G68" s="4">
        <v>200000000</v>
      </c>
    </row>
    <row r="69" spans="1:7" x14ac:dyDescent="0.2">
      <c r="A69" s="5" t="s">
        <v>25</v>
      </c>
      <c r="B69" s="4">
        <v>420000000</v>
      </c>
      <c r="C69" s="4">
        <v>60000000</v>
      </c>
      <c r="D69" s="4">
        <v>1800000000</v>
      </c>
      <c r="E69" s="4">
        <v>1400000000</v>
      </c>
      <c r="F69" s="4">
        <v>380000000</v>
      </c>
      <c r="G69" s="4">
        <v>42000000</v>
      </c>
    </row>
    <row r="70" spans="1:7" x14ac:dyDescent="0.2">
      <c r="A70" s="5"/>
      <c r="B70" s="4">
        <v>91000000</v>
      </c>
      <c r="C70" s="4">
        <v>100000000</v>
      </c>
      <c r="D70" s="4">
        <v>2400000000</v>
      </c>
      <c r="E70" s="4">
        <v>6200000000</v>
      </c>
      <c r="F70" s="4">
        <v>2200000000</v>
      </c>
      <c r="G70" s="4">
        <v>400000000</v>
      </c>
    </row>
    <row r="71" spans="1:7" x14ac:dyDescent="0.2">
      <c r="A71" s="5"/>
      <c r="B71" s="4">
        <v>210000000</v>
      </c>
      <c r="C71" s="4">
        <v>40000000</v>
      </c>
      <c r="D71" s="4">
        <v>1200000000</v>
      </c>
      <c r="E71" s="4">
        <v>2600000000</v>
      </c>
      <c r="F71" s="4">
        <v>3000000000</v>
      </c>
      <c r="G71" s="4">
        <v>240000000</v>
      </c>
    </row>
    <row r="72" spans="1:7" x14ac:dyDescent="0.2">
      <c r="A72" s="5" t="s">
        <v>26</v>
      </c>
      <c r="B72" s="4">
        <v>420000000</v>
      </c>
      <c r="C72" s="4">
        <v>8000000</v>
      </c>
      <c r="D72" s="4">
        <v>16000000</v>
      </c>
      <c r="E72" s="4">
        <v>3200000</v>
      </c>
      <c r="F72" s="4">
        <v>1200000</v>
      </c>
      <c r="G72" s="4">
        <v>200</v>
      </c>
    </row>
    <row r="73" spans="1:7" x14ac:dyDescent="0.2">
      <c r="A73" s="5"/>
      <c r="B73" s="4">
        <v>91000000</v>
      </c>
      <c r="C73" s="4">
        <v>120000000</v>
      </c>
      <c r="D73" s="4">
        <v>18000000</v>
      </c>
      <c r="E73" s="4">
        <v>3000000</v>
      </c>
      <c r="F73" s="4">
        <v>60000</v>
      </c>
      <c r="G73" s="4">
        <v>2000</v>
      </c>
    </row>
    <row r="74" spans="1:7" x14ac:dyDescent="0.2">
      <c r="A74" s="5"/>
      <c r="B74" s="4">
        <v>210000000</v>
      </c>
      <c r="C74" s="4">
        <v>16000000</v>
      </c>
      <c r="D74" s="4">
        <v>18000000</v>
      </c>
      <c r="E74" s="4">
        <v>1400000</v>
      </c>
      <c r="F74" s="4">
        <v>0</v>
      </c>
      <c r="G74" s="4">
        <v>2400</v>
      </c>
    </row>
    <row r="75" spans="1:7" x14ac:dyDescent="0.2">
      <c r="A75" s="5" t="s">
        <v>27</v>
      </c>
      <c r="B75" s="4">
        <v>280000000</v>
      </c>
      <c r="C75" s="4">
        <v>22000000</v>
      </c>
      <c r="D75" s="4">
        <v>20000000</v>
      </c>
      <c r="E75" s="4">
        <v>4000000</v>
      </c>
      <c r="F75" s="4">
        <v>2000000</v>
      </c>
      <c r="G75" s="4">
        <v>200000</v>
      </c>
    </row>
    <row r="76" spans="1:7" x14ac:dyDescent="0.2">
      <c r="A76" s="5"/>
      <c r="B76" s="4">
        <v>120000000</v>
      </c>
      <c r="C76" s="4">
        <v>12000000</v>
      </c>
      <c r="D76" s="4">
        <v>24000000</v>
      </c>
      <c r="E76" s="4">
        <v>6000000</v>
      </c>
      <c r="F76" s="4">
        <v>280000</v>
      </c>
      <c r="G76" s="4">
        <v>1640</v>
      </c>
    </row>
    <row r="77" spans="1:7" x14ac:dyDescent="0.2">
      <c r="A77" s="5"/>
      <c r="B77" s="4">
        <v>100000000</v>
      </c>
      <c r="C77" s="4">
        <v>5000000</v>
      </c>
      <c r="D77" s="4">
        <v>18000000</v>
      </c>
      <c r="E77" s="4">
        <v>240000</v>
      </c>
      <c r="F77" s="4">
        <v>140000</v>
      </c>
      <c r="G77" s="4">
        <v>2000</v>
      </c>
    </row>
    <row r="78" spans="1:7" x14ac:dyDescent="0.2">
      <c r="A78" s="5" t="s">
        <v>28</v>
      </c>
      <c r="B78" s="4">
        <v>280000000</v>
      </c>
      <c r="C78" s="4">
        <v>12000000</v>
      </c>
      <c r="D78" s="4">
        <v>44000000</v>
      </c>
      <c r="E78" s="4">
        <v>160000</v>
      </c>
      <c r="F78" s="4">
        <v>6000</v>
      </c>
      <c r="G78" s="4">
        <v>1960</v>
      </c>
    </row>
    <row r="79" spans="1:7" x14ac:dyDescent="0.2">
      <c r="A79" s="5"/>
      <c r="B79" s="4">
        <v>120000000</v>
      </c>
      <c r="C79" s="4">
        <v>30000000</v>
      </c>
      <c r="D79" s="4">
        <v>440000</v>
      </c>
      <c r="E79" s="4">
        <v>140000</v>
      </c>
      <c r="F79" s="4">
        <v>4000</v>
      </c>
      <c r="G79" s="4">
        <v>2640</v>
      </c>
    </row>
    <row r="80" spans="1:7" x14ac:dyDescent="0.2">
      <c r="A80" s="5"/>
      <c r="B80" s="4">
        <v>100000000</v>
      </c>
      <c r="C80" s="4">
        <v>5600000</v>
      </c>
      <c r="D80" s="4">
        <v>1400000</v>
      </c>
      <c r="E80" s="4">
        <v>160000</v>
      </c>
      <c r="F80" s="4">
        <v>3000</v>
      </c>
      <c r="G80" s="4">
        <v>780</v>
      </c>
    </row>
    <row r="81" spans="1:7" x14ac:dyDescent="0.2">
      <c r="A81" s="5" t="s">
        <v>29</v>
      </c>
      <c r="B81" s="4">
        <v>280000000</v>
      </c>
      <c r="C81" s="4">
        <v>18000000</v>
      </c>
      <c r="D81" s="4">
        <v>46000000</v>
      </c>
      <c r="E81" s="4">
        <v>4000000</v>
      </c>
      <c r="F81" s="4">
        <v>440000</v>
      </c>
      <c r="G81" s="4">
        <v>200000</v>
      </c>
    </row>
    <row r="82" spans="1:7" x14ac:dyDescent="0.2">
      <c r="A82" s="5"/>
      <c r="B82" s="4">
        <v>120000000</v>
      </c>
      <c r="C82" s="4">
        <v>3000000</v>
      </c>
      <c r="D82" s="4">
        <v>160000000</v>
      </c>
      <c r="E82" s="4">
        <v>1600000</v>
      </c>
      <c r="F82" s="4">
        <v>150000</v>
      </c>
      <c r="G82" s="4">
        <v>1000000</v>
      </c>
    </row>
    <row r="83" spans="1:7" x14ac:dyDescent="0.2">
      <c r="A83" s="5"/>
      <c r="B83" s="4">
        <v>100000000</v>
      </c>
      <c r="C83" s="4">
        <v>3000000</v>
      </c>
      <c r="D83" s="4">
        <v>16000000</v>
      </c>
      <c r="E83" s="4">
        <v>1800000</v>
      </c>
      <c r="F83" s="4">
        <v>2400000</v>
      </c>
      <c r="G83" s="4">
        <v>300000</v>
      </c>
    </row>
    <row r="84" spans="1:7" x14ac:dyDescent="0.2">
      <c r="A84" s="5" t="s">
        <v>30</v>
      </c>
      <c r="B84" s="4">
        <v>14000000000</v>
      </c>
      <c r="C84" s="4">
        <v>260000000</v>
      </c>
      <c r="D84" s="4">
        <v>320000000</v>
      </c>
      <c r="E84" s="4">
        <v>10000000</v>
      </c>
      <c r="F84" s="4">
        <v>80000000</v>
      </c>
      <c r="G84" s="4">
        <v>4000000</v>
      </c>
    </row>
    <row r="85" spans="1:7" x14ac:dyDescent="0.2">
      <c r="A85" s="5"/>
      <c r="B85" s="4">
        <v>10000000000</v>
      </c>
      <c r="C85" s="4">
        <v>960000000</v>
      </c>
      <c r="D85" s="4">
        <v>760000000</v>
      </c>
      <c r="E85" s="4">
        <v>1040000000</v>
      </c>
      <c r="F85" s="4">
        <v>82000000</v>
      </c>
      <c r="G85" s="4">
        <v>140000000</v>
      </c>
    </row>
    <row r="86" spans="1:7" x14ac:dyDescent="0.2">
      <c r="A86" s="5"/>
      <c r="B86" s="4">
        <v>16000000000</v>
      </c>
      <c r="C86" s="4">
        <v>800000000</v>
      </c>
      <c r="D86" s="4">
        <v>1000000000</v>
      </c>
      <c r="E86" s="4">
        <v>1300000000</v>
      </c>
      <c r="F86" s="4">
        <v>1060000000</v>
      </c>
      <c r="G86" s="4">
        <v>1020000000</v>
      </c>
    </row>
    <row r="87" spans="1:7" x14ac:dyDescent="0.2">
      <c r="A87" s="5" t="s">
        <v>31</v>
      </c>
      <c r="B87" s="4">
        <v>14000000000</v>
      </c>
      <c r="C87" s="4">
        <v>60000000</v>
      </c>
      <c r="D87" s="4">
        <v>100000000</v>
      </c>
      <c r="E87" s="4">
        <v>80000000</v>
      </c>
      <c r="F87" s="4">
        <v>20000000</v>
      </c>
      <c r="G87" s="4">
        <v>600000</v>
      </c>
    </row>
    <row r="88" spans="1:7" x14ac:dyDescent="0.2">
      <c r="A88" s="5"/>
      <c r="B88" s="4">
        <v>10000000000</v>
      </c>
      <c r="C88" s="4">
        <v>840000000</v>
      </c>
      <c r="D88" s="4">
        <v>660000000</v>
      </c>
      <c r="E88" s="4">
        <v>820000000</v>
      </c>
      <c r="F88" s="4">
        <v>360000000</v>
      </c>
      <c r="G88" s="4">
        <v>220000000</v>
      </c>
    </row>
    <row r="89" spans="1:7" x14ac:dyDescent="0.2">
      <c r="A89" s="5"/>
      <c r="B89" s="4">
        <v>16000000000</v>
      </c>
      <c r="C89" s="4">
        <v>800000000</v>
      </c>
      <c r="D89" s="4">
        <v>600000000</v>
      </c>
      <c r="E89" s="4">
        <v>920000000</v>
      </c>
      <c r="F89" s="4">
        <v>880000000</v>
      </c>
      <c r="G89" s="4">
        <v>900000000</v>
      </c>
    </row>
    <row r="90" spans="1:7" x14ac:dyDescent="0.2">
      <c r="A90" s="5" t="s">
        <v>32</v>
      </c>
      <c r="B90" s="4">
        <v>14000000000</v>
      </c>
      <c r="C90" s="4">
        <v>140000000</v>
      </c>
      <c r="D90" s="4">
        <v>12000000</v>
      </c>
      <c r="E90" s="4">
        <v>4000000</v>
      </c>
      <c r="F90" s="4">
        <v>40000</v>
      </c>
      <c r="G90" s="4">
        <v>80</v>
      </c>
    </row>
    <row r="91" spans="1:7" x14ac:dyDescent="0.2">
      <c r="A91" s="5"/>
      <c r="B91" s="4">
        <v>10000000000</v>
      </c>
      <c r="C91" s="4">
        <v>60000000</v>
      </c>
      <c r="D91" s="4">
        <v>70000</v>
      </c>
      <c r="E91" s="4">
        <v>6000</v>
      </c>
      <c r="F91" s="4">
        <v>240</v>
      </c>
      <c r="G91" s="4">
        <v>90</v>
      </c>
    </row>
    <row r="92" spans="1:7" x14ac:dyDescent="0.2">
      <c r="A92" s="5"/>
      <c r="B92" s="4">
        <v>16000000000</v>
      </c>
      <c r="C92" s="4">
        <v>100000000</v>
      </c>
      <c r="D92" s="4">
        <v>1000000</v>
      </c>
      <c r="E92" s="4">
        <v>12000</v>
      </c>
      <c r="F92" s="4">
        <v>38000</v>
      </c>
      <c r="G92" s="4">
        <v>24000</v>
      </c>
    </row>
    <row r="93" spans="1:7" x14ac:dyDescent="0.2">
      <c r="A93" s="5" t="s">
        <v>33</v>
      </c>
      <c r="B93" s="4">
        <v>600000000</v>
      </c>
      <c r="C93" s="4">
        <v>160000000</v>
      </c>
      <c r="D93" s="4">
        <v>320000000</v>
      </c>
      <c r="E93" s="4">
        <v>120000000</v>
      </c>
      <c r="F93" s="4">
        <v>60000000</v>
      </c>
      <c r="G93" s="4">
        <v>400000</v>
      </c>
    </row>
    <row r="94" spans="1:7" x14ac:dyDescent="0.2">
      <c r="A94" s="5"/>
      <c r="B94" s="4">
        <v>400000000</v>
      </c>
      <c r="C94" s="4">
        <v>120000000</v>
      </c>
      <c r="D94" s="4">
        <v>280000000</v>
      </c>
      <c r="E94" s="4">
        <v>40000000</v>
      </c>
      <c r="F94" s="4">
        <v>4000000</v>
      </c>
      <c r="G94" s="4">
        <v>2000000</v>
      </c>
    </row>
    <row r="95" spans="1:7" x14ac:dyDescent="0.2">
      <c r="A95" s="5"/>
      <c r="B95" s="4">
        <v>200000000</v>
      </c>
      <c r="C95" s="4">
        <v>400000000</v>
      </c>
      <c r="D95" s="4">
        <v>380000000</v>
      </c>
      <c r="E95" s="4">
        <v>4000000</v>
      </c>
      <c r="F95" s="4">
        <v>6000000</v>
      </c>
      <c r="G95" s="4">
        <v>4000000</v>
      </c>
    </row>
    <row r="96" spans="1:7" x14ac:dyDescent="0.2">
      <c r="A96" s="5" t="s">
        <v>34</v>
      </c>
      <c r="B96" s="4">
        <v>600000000</v>
      </c>
      <c r="C96" s="4">
        <v>600000000</v>
      </c>
      <c r="D96" s="4">
        <v>800000000</v>
      </c>
      <c r="E96" s="4">
        <v>40000000</v>
      </c>
      <c r="F96" s="4">
        <v>12000000</v>
      </c>
      <c r="G96" s="4">
        <v>4000000</v>
      </c>
    </row>
    <row r="97" spans="1:7" x14ac:dyDescent="0.2">
      <c r="A97" s="5"/>
      <c r="B97" s="4">
        <v>400000000</v>
      </c>
      <c r="C97" s="4">
        <v>800000000</v>
      </c>
      <c r="D97" s="4">
        <v>600000000</v>
      </c>
      <c r="E97" s="4">
        <v>60000000</v>
      </c>
      <c r="F97" s="4">
        <v>4000000</v>
      </c>
      <c r="G97" s="4">
        <v>6000000</v>
      </c>
    </row>
    <row r="98" spans="1:7" x14ac:dyDescent="0.2">
      <c r="A98" s="5"/>
      <c r="B98" s="4">
        <v>200000000</v>
      </c>
      <c r="C98" s="4">
        <v>400000000</v>
      </c>
      <c r="D98" s="4">
        <v>800000000</v>
      </c>
      <c r="E98" s="4">
        <v>80000000</v>
      </c>
      <c r="F98" s="4">
        <v>12000000</v>
      </c>
      <c r="G98" s="4">
        <v>6000000</v>
      </c>
    </row>
    <row r="99" spans="1:7" x14ac:dyDescent="0.2">
      <c r="A99" s="5" t="s">
        <v>35</v>
      </c>
      <c r="B99" s="4">
        <v>600000000</v>
      </c>
      <c r="C99" s="4">
        <v>400000000</v>
      </c>
      <c r="D99" s="4">
        <v>40000</v>
      </c>
      <c r="E99" s="4">
        <v>2070</v>
      </c>
      <c r="F99" s="4">
        <v>1140</v>
      </c>
      <c r="G99" s="4">
        <v>365</v>
      </c>
    </row>
    <row r="100" spans="1:7" x14ac:dyDescent="0.2">
      <c r="A100" s="5"/>
      <c r="B100" s="4">
        <v>400000000</v>
      </c>
      <c r="C100" s="4">
        <v>1800000000</v>
      </c>
      <c r="D100" s="4">
        <v>24000</v>
      </c>
      <c r="E100" s="4">
        <v>1810</v>
      </c>
      <c r="F100" s="4">
        <v>960</v>
      </c>
      <c r="G100" s="4">
        <v>550</v>
      </c>
    </row>
    <row r="101" spans="1:7" x14ac:dyDescent="0.2">
      <c r="A101" s="5"/>
      <c r="B101" s="4">
        <v>200000000</v>
      </c>
      <c r="C101" s="4">
        <v>4000000</v>
      </c>
      <c r="D101" s="4">
        <v>10000</v>
      </c>
      <c r="E101" s="4">
        <v>6000</v>
      </c>
      <c r="F101" s="4">
        <v>2000</v>
      </c>
      <c r="G101" s="4">
        <v>165</v>
      </c>
    </row>
    <row r="102" spans="1:7" x14ac:dyDescent="0.2">
      <c r="A102" s="5" t="s">
        <v>36</v>
      </c>
      <c r="B102" s="4">
        <v>8000000000</v>
      </c>
      <c r="C102" s="4">
        <v>8000000000</v>
      </c>
      <c r="D102" s="4">
        <v>120000000</v>
      </c>
      <c r="E102" s="4">
        <v>160000000</v>
      </c>
      <c r="F102" s="4">
        <v>16000000</v>
      </c>
      <c r="G102" s="4">
        <v>7000000</v>
      </c>
    </row>
    <row r="103" spans="1:7" x14ac:dyDescent="0.2">
      <c r="A103" s="5"/>
      <c r="B103" s="4">
        <v>60000000000</v>
      </c>
      <c r="C103" s="4">
        <v>12000000000</v>
      </c>
      <c r="D103" s="4">
        <v>220000000</v>
      </c>
      <c r="E103" s="4">
        <v>120000000</v>
      </c>
      <c r="F103" s="4">
        <v>24000000</v>
      </c>
      <c r="G103" s="4">
        <v>16000000</v>
      </c>
    </row>
    <row r="104" spans="1:7" x14ac:dyDescent="0.2">
      <c r="A104" s="5"/>
      <c r="B104" s="4">
        <v>60000000000</v>
      </c>
      <c r="C104" s="4">
        <v>4000000000</v>
      </c>
      <c r="D104" s="4">
        <v>80000000</v>
      </c>
      <c r="E104" s="4">
        <v>300000000</v>
      </c>
      <c r="F104" s="4">
        <v>32000000</v>
      </c>
      <c r="G104" s="4">
        <v>16000000</v>
      </c>
    </row>
  </sheetData>
  <mergeCells count="34">
    <mergeCell ref="A36:A38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72:A74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93:A95"/>
    <mergeCell ref="A96:A98"/>
    <mergeCell ref="A99:A101"/>
    <mergeCell ref="A102:A104"/>
    <mergeCell ref="A75:A77"/>
    <mergeCell ref="A78:A80"/>
    <mergeCell ref="A81:A83"/>
    <mergeCell ref="A84:A86"/>
    <mergeCell ref="A87:A89"/>
    <mergeCell ref="A90:A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840C-5F25-C143-8F3A-B316E19DA842}">
  <dimension ref="A1:K9"/>
  <sheetViews>
    <sheetView tabSelected="1" workbookViewId="0">
      <selection activeCell="I20" sqref="I20"/>
    </sheetView>
  </sheetViews>
  <sheetFormatPr baseColWidth="10" defaultRowHeight="16" x14ac:dyDescent="0.2"/>
  <cols>
    <col min="1" max="1" width="25.5" customWidth="1"/>
  </cols>
  <sheetData>
    <row r="1" spans="1:11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54</v>
      </c>
      <c r="K1" t="s">
        <v>55</v>
      </c>
    </row>
    <row r="2" spans="1:11" x14ac:dyDescent="0.2">
      <c r="A2" t="s">
        <v>46</v>
      </c>
      <c r="B2" s="7">
        <v>1</v>
      </c>
      <c r="C2" s="6">
        <v>0.998</v>
      </c>
      <c r="D2" s="6">
        <v>0.99199999999999999</v>
      </c>
      <c r="E2">
        <v>9964</v>
      </c>
      <c r="F2" s="6">
        <v>5.9999999999999995E-4</v>
      </c>
      <c r="G2" s="6">
        <v>4.0000000000000002E-4</v>
      </c>
      <c r="H2" s="6">
        <v>1.6299999999999999E-2</v>
      </c>
      <c r="I2" s="6">
        <v>0.98299999999999998</v>
      </c>
      <c r="J2" s="6">
        <f>G2+F2</f>
        <v>1E-3</v>
      </c>
      <c r="K2" s="6">
        <f>H2+I2</f>
        <v>0.99929999999999997</v>
      </c>
    </row>
    <row r="3" spans="1:11" x14ac:dyDescent="0.2">
      <c r="A3" t="s">
        <v>47</v>
      </c>
      <c r="B3" s="7">
        <v>1</v>
      </c>
      <c r="C3" s="6">
        <v>1</v>
      </c>
      <c r="D3" s="6">
        <v>0.872</v>
      </c>
      <c r="E3">
        <v>8450</v>
      </c>
      <c r="F3" s="6">
        <v>2.7000000000000001E-3</v>
      </c>
      <c r="G3" s="6">
        <v>5.9999999999999995E-4</v>
      </c>
      <c r="H3" s="6">
        <v>0.113</v>
      </c>
      <c r="I3" s="6">
        <v>0.88300000000000001</v>
      </c>
      <c r="J3" s="6">
        <f t="shared" ref="J3:J9" si="0">G3+F3</f>
        <v>3.3E-3</v>
      </c>
      <c r="K3" s="6">
        <f t="shared" ref="K3:K9" si="1">H3+I3</f>
        <v>0.996</v>
      </c>
    </row>
    <row r="4" spans="1:11" x14ac:dyDescent="0.2">
      <c r="A4" t="s">
        <v>48</v>
      </c>
      <c r="B4" s="7">
        <v>1</v>
      </c>
      <c r="C4" s="6">
        <v>0.999</v>
      </c>
      <c r="D4" s="6">
        <v>0.77900000000000003</v>
      </c>
      <c r="E4">
        <v>7524</v>
      </c>
      <c r="F4" s="6">
        <v>1.9E-3</v>
      </c>
      <c r="G4" s="6">
        <v>2.7000000000000001E-3</v>
      </c>
      <c r="H4" s="6">
        <v>0.33800000000000002</v>
      </c>
      <c r="I4" s="6">
        <v>0.65700000000000003</v>
      </c>
      <c r="J4" s="6">
        <f t="shared" si="0"/>
        <v>4.5999999999999999E-3</v>
      </c>
      <c r="K4" s="6">
        <f t="shared" si="1"/>
        <v>0.99500000000000011</v>
      </c>
    </row>
    <row r="5" spans="1:11" x14ac:dyDescent="0.2">
      <c r="A5" t="s">
        <v>49</v>
      </c>
      <c r="B5" s="7">
        <v>1</v>
      </c>
      <c r="C5" s="6">
        <v>0.99299999999999999</v>
      </c>
      <c r="D5" s="6">
        <v>0.997</v>
      </c>
      <c r="E5">
        <v>10567</v>
      </c>
      <c r="F5" s="6">
        <v>0.97099999999999997</v>
      </c>
      <c r="G5" s="6">
        <v>5.7999999999999996E-3</v>
      </c>
      <c r="H5" s="6">
        <v>7.4000000000000003E-3</v>
      </c>
      <c r="I5" s="6">
        <v>1.6199999999999999E-2</v>
      </c>
      <c r="J5" s="6">
        <f t="shared" si="0"/>
        <v>0.9768</v>
      </c>
      <c r="K5" s="6">
        <f t="shared" si="1"/>
        <v>2.3599999999999999E-2</v>
      </c>
    </row>
    <row r="6" spans="1:11" x14ac:dyDescent="0.2">
      <c r="A6" t="s">
        <v>50</v>
      </c>
      <c r="B6" s="7">
        <v>1</v>
      </c>
      <c r="C6" s="6">
        <v>0.55200000000000005</v>
      </c>
      <c r="D6" s="6">
        <v>0.99399999999999999</v>
      </c>
      <c r="E6">
        <v>10051</v>
      </c>
      <c r="F6" s="6">
        <v>1.04E-2</v>
      </c>
      <c r="G6" s="6">
        <v>2.7000000000000001E-3</v>
      </c>
      <c r="H6" s="6">
        <v>0.98299999999999998</v>
      </c>
      <c r="I6" s="6">
        <v>4.1000000000000003E-3</v>
      </c>
      <c r="J6" s="6"/>
      <c r="K6" s="6"/>
    </row>
    <row r="7" spans="1:11" x14ac:dyDescent="0.2">
      <c r="A7" t="s">
        <v>51</v>
      </c>
      <c r="B7" s="7">
        <v>1</v>
      </c>
      <c r="C7" s="6">
        <v>0.88500000000000001</v>
      </c>
      <c r="D7" s="6">
        <v>0.90300000000000002</v>
      </c>
      <c r="E7">
        <v>11137</v>
      </c>
      <c r="F7" s="6">
        <v>0.997</v>
      </c>
      <c r="G7" s="7">
        <v>0</v>
      </c>
      <c r="H7" s="7">
        <v>0</v>
      </c>
      <c r="I7" s="6">
        <v>2.5000000000000001E-3</v>
      </c>
      <c r="J7" s="6"/>
      <c r="K7" s="6"/>
    </row>
    <row r="8" spans="1:11" x14ac:dyDescent="0.2">
      <c r="A8" t="s">
        <v>52</v>
      </c>
      <c r="B8" s="7">
        <v>1</v>
      </c>
      <c r="C8" s="6">
        <v>0.96399999999999997</v>
      </c>
      <c r="D8" s="6">
        <v>0.93799999999999994</v>
      </c>
      <c r="E8">
        <v>10030</v>
      </c>
      <c r="F8" s="6">
        <v>0.97599999999999998</v>
      </c>
      <c r="G8" s="7">
        <v>0</v>
      </c>
      <c r="H8" s="6">
        <v>1.6999999999999999E-3</v>
      </c>
      <c r="I8" s="6">
        <v>2.2200000000000001E-2</v>
      </c>
      <c r="J8" s="6"/>
      <c r="K8" s="6"/>
    </row>
    <row r="9" spans="1:11" x14ac:dyDescent="0.2">
      <c r="A9" t="s">
        <v>53</v>
      </c>
      <c r="B9" s="7">
        <v>1</v>
      </c>
      <c r="C9" s="6">
        <v>0.94399999999999995</v>
      </c>
      <c r="D9" s="6">
        <v>0.95599999999999996</v>
      </c>
      <c r="E9">
        <v>9905</v>
      </c>
      <c r="F9" s="6">
        <v>0.99399999999999999</v>
      </c>
      <c r="G9" s="7">
        <v>0</v>
      </c>
      <c r="H9" s="6">
        <v>1E-4</v>
      </c>
      <c r="I9" s="6">
        <v>5.4999999999999997E-3</v>
      </c>
      <c r="J9" s="6"/>
      <c r="K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Goemans</dc:creator>
  <cp:lastModifiedBy>Camille Goemans</cp:lastModifiedBy>
  <dcterms:created xsi:type="dcterms:W3CDTF">2021-08-03T07:18:00Z</dcterms:created>
  <dcterms:modified xsi:type="dcterms:W3CDTF">2021-08-31T07:07:36Z</dcterms:modified>
</cp:coreProperties>
</file>